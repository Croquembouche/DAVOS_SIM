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ASTRTPS" sheetId="1" r:id="rId4"/>
  </sheets>
  <definedNames/>
  <calcPr/>
</workbook>
</file>

<file path=xl/sharedStrings.xml><?xml version="1.0" encoding="utf-8"?>
<sst xmlns="http://schemas.openxmlformats.org/spreadsheetml/2006/main" count="146" uniqueCount="59">
  <si>
    <t>Tasks</t>
  </si>
  <si>
    <t>MIN</t>
  </si>
  <si>
    <t>MAX</t>
  </si>
  <si>
    <t>AVG</t>
  </si>
  <si>
    <t>STDEV</t>
  </si>
  <si>
    <t>p95</t>
  </si>
  <si>
    <t>p99</t>
  </si>
  <si>
    <t>planning_intersection_processing_ms</t>
  </si>
  <si>
    <t>vehicle_velocity_converter_twist_with_covar</t>
  </si>
  <si>
    <t>perception</t>
  </si>
  <si>
    <t>pose_estimator_ms</t>
  </si>
  <si>
    <t>twist_estimator_twist_with_covar</t>
  </si>
  <si>
    <t>localization</t>
  </si>
  <si>
    <t>planning_walkway_processing_ms</t>
  </si>
  <si>
    <t>sensing_imu</t>
  </si>
  <si>
    <t>planning</t>
  </si>
  <si>
    <t>planning_stop_line_processing_ms</t>
  </si>
  <si>
    <t>planning_velocity_smoother_trajectory</t>
  </si>
  <si>
    <t>preprocessing</t>
  </si>
  <si>
    <t>planning_outoflane_processing_ms</t>
  </si>
  <si>
    <t>planning_scenario_planning_trajectory</t>
  </si>
  <si>
    <t>planning_merge_from_private_processing_ms</t>
  </si>
  <si>
    <t>planning_path_with_laneid</t>
  </si>
  <si>
    <t>total latency</t>
  </si>
  <si>
    <t>planning_crosswalk_processing_ms</t>
  </si>
  <si>
    <t>planning_lane_driving_trajectory</t>
  </si>
  <si>
    <t>planning_blindspot_processing_ms</t>
  </si>
  <si>
    <t>planning_behavior_path</t>
  </si>
  <si>
    <t>planning__detection_area_processing_ms</t>
  </si>
  <si>
    <t>perception_output_objects</t>
  </si>
  <si>
    <t>object_segmentation_scanground_filter_processing_ms</t>
  </si>
  <si>
    <t>perception_object_tracking</t>
  </si>
  <si>
    <t>lidar_top_pointcloud</t>
  </si>
  <si>
    <t>occupancy_grid_map_pointcloud_based_processing_ms</t>
  </si>
  <si>
    <t>perception_centerpoint_objects</t>
  </si>
  <si>
    <t>lidar_voxel_filter_pointcloud</t>
  </si>
  <si>
    <t>object_segmentation_occupancy_grid_map_outlier_filter_processing_ms</t>
  </si>
  <si>
    <t>occupancy_grid_output_perception_segmentation_pointcloud</t>
  </si>
  <si>
    <t>lidar_self_filter_pointcloud</t>
  </si>
  <si>
    <t>object_segmentation_cropbox_filter_processing_ms</t>
  </si>
  <si>
    <t>occupancy_grid_output_perception_occupancy_grid_map</t>
  </si>
  <si>
    <t>ndt_input_downsample_pointcloud</t>
  </si>
  <si>
    <t>lidar_centerpoint_ms</t>
  </si>
  <si>
    <t>voxel_process_time_ms</t>
  </si>
  <si>
    <t>total processing time</t>
  </si>
  <si>
    <t>ndt_pose</t>
  </si>
  <si>
    <t>self_filter_process_time_ms</t>
  </si>
  <si>
    <t>gnss</t>
  </si>
  <si>
    <t>total time wasted in preprocessing communication</t>
  </si>
  <si>
    <t>total communication latency</t>
  </si>
  <si>
    <t>total preprocessing latency</t>
  </si>
  <si>
    <t>total time wasted in localization communication</t>
  </si>
  <si>
    <t>total time localization latency</t>
  </si>
  <si>
    <t>total time wasted in perception communication</t>
  </si>
  <si>
    <t>total time wasted in planning communication</t>
  </si>
  <si>
    <t>total</t>
  </si>
  <si>
    <t>time with sim estimate</t>
  </si>
  <si>
    <t>total perception latency</t>
  </si>
  <si>
    <t>total planning latency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</si>
</sst>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6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0"/>
    </xf>
    <xf borderId="2" fillId="0" fontId="2" numFmtId="0" xfId="0" applyAlignment="1" applyBorder="1" applyFont="1">
      <alignment horizontal="left" readingOrder="0" shrinkToFit="0" vertical="bottom" wrapText="0"/>
    </xf>
    <xf borderId="3" fillId="0" fontId="2" numFmtId="0" xfId="0" applyAlignment="1" applyBorder="1" applyFont="1">
      <alignment horizontal="left" readingOrder="0" shrinkToFit="0" vertical="bottom" wrapText="0"/>
    </xf>
    <xf borderId="4" fillId="0" fontId="1" numFmtId="0" xfId="0" applyAlignment="1" applyBorder="1" applyFon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6" fillId="0" fontId="1" numFmtId="0" xfId="0" applyAlignment="1" applyBorder="1" applyFont="1">
      <alignment readingOrder="0" shrinkToFit="0" vertical="center" wrapText="0"/>
    </xf>
    <xf borderId="4" fillId="0" fontId="1" numFmtId="0" xfId="0" applyAlignment="1" applyBorder="1" applyFon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6" fillId="0" fontId="1" numFmtId="0" xfId="0" applyAlignment="1" applyBorder="1" applyFon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6" fillId="0" fontId="1" numFmtId="0" xfId="0" applyAlignment="1" applyBorder="1" applyFont="1">
      <alignment readingOrder="0" shrinkToFit="0" vertical="center" wrapText="0"/>
    </xf>
    <xf borderId="7" fillId="0" fontId="1" numFmtId="0" xfId="0" applyAlignment="1" applyBorder="1" applyFon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9" fillId="0" fontId="1" numFmtId="0" xfId="0" applyAlignment="1" applyBorder="1" applyFont="1">
      <alignment readingOrder="0" shrinkToFit="0" vertical="center" wrapText="0"/>
    </xf>
    <xf borderId="7" fillId="0" fontId="1" numFmtId="0" xfId="0" applyAlignment="1" applyBorder="1" applyFon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9" fillId="0" fontId="1" numFmtId="0" xfId="0" applyAlignment="1" applyBorder="1" applyFon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9" fillId="0" fontId="1" numFmtId="0" xfId="0" applyAlignment="1" applyBorder="1" applyFont="1">
      <alignment readingOrder="0" shrinkToFit="0" vertical="center" wrapText="0"/>
    </xf>
    <xf borderId="10" fillId="0" fontId="1" numFmtId="0" xfId="0" applyAlignment="1" applyBorder="1" applyFont="1">
      <alignment readingOrder="0" shrinkToFit="0" vertical="center" wrapText="0"/>
    </xf>
    <xf borderId="11" fillId="0" fontId="1" numFmtId="0" xfId="0" applyAlignment="1" applyBorder="1" applyFont="1">
      <alignment readingOrder="0" shrinkToFit="0" vertical="center" wrapText="0"/>
    </xf>
    <xf borderId="12" fillId="0" fontId="1" numFmtId="0" xfId="0" applyAlignment="1" applyBorder="1" applyFont="1">
      <alignment readingOrder="0" shrinkToFit="0" vertical="center" wrapText="0"/>
    </xf>
    <xf borderId="13" fillId="0" fontId="1" numFmtId="0" xfId="0" applyAlignment="1" applyBorder="1" applyFont="1">
      <alignment readingOrder="0" shrinkToFit="0" vertical="center" wrapText="0"/>
    </xf>
    <xf borderId="14" fillId="0" fontId="1" numFmtId="0" xfId="0" applyAlignment="1" applyBorder="1" applyFont="1">
      <alignment shrinkToFit="0" vertical="center" wrapText="0"/>
    </xf>
    <xf borderId="15" fillId="0" fontId="1" numFmtId="0" xfId="0" applyAlignment="1" applyBorder="1" applyFont="1">
      <alignment shrinkToFit="0" vertical="center" wrapText="0"/>
    </xf>
    <xf borderId="11" fillId="0" fontId="1" numFmtId="0" xfId="0" applyAlignment="1" applyBorder="1" applyFont="1">
      <alignment readingOrder="0" shrinkToFit="0" vertical="center" wrapText="0"/>
    </xf>
    <xf borderId="13" fillId="0" fontId="1" numFmtId="0" xfId="0" applyAlignment="1" applyBorder="1" applyFont="1">
      <alignment readingOrder="0" shrinkToFit="0" vertical="center" wrapText="0"/>
    </xf>
    <xf borderId="14" fillId="0" fontId="1" numFmtId="0" xfId="0" applyAlignment="1" applyBorder="1" applyFont="1">
      <alignment readingOrder="0" shrinkToFit="0" vertical="center" wrapText="0"/>
    </xf>
    <xf borderId="15" fillId="0" fontId="1" numFmtId="0" xfId="0" applyAlignment="1" applyBorder="1" applyFont="1">
      <alignment readingOrder="0" shrinkToFit="0" vertical="center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5" fillId="0" fontId="1" numFmtId="0" xfId="0" applyAlignment="1" applyBorder="1" applyFont="1">
      <alignment shrinkToFit="0" vertical="center" wrapText="0"/>
    </xf>
    <xf borderId="6" fillId="0" fontId="1" numFmtId="0" xfId="0" applyAlignment="1" applyBorder="1" applyFont="1">
      <alignment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9">
    <tableStyle count="3" pivot="0" name="FASTRTPS-style">
      <tableStyleElement dxfId="1" type="headerRow"/>
      <tableStyleElement dxfId="2" type="firstRowStripe"/>
      <tableStyleElement dxfId="3" type="secondRowStripe"/>
    </tableStyle>
    <tableStyle count="3" pivot="0" name="FASTRTPS-style 2">
      <tableStyleElement dxfId="1" type="headerRow"/>
      <tableStyleElement dxfId="2" type="firstRowStripe"/>
      <tableStyleElement dxfId="3" type="secondRowStripe"/>
    </tableStyle>
    <tableStyle count="3" pivot="0" name="FASTRTPS-style 3">
      <tableStyleElement dxfId="1" type="headerRow"/>
      <tableStyleElement dxfId="2" type="firstRowStripe"/>
      <tableStyleElement dxfId="3" type="secondRowStripe"/>
    </tableStyle>
    <tableStyle count="3" pivot="0" name="FASTRTPS-style 4">
      <tableStyleElement dxfId="1" type="headerRow"/>
      <tableStyleElement dxfId="2" type="firstRowStripe"/>
      <tableStyleElement dxfId="3" type="secondRowStripe"/>
    </tableStyle>
    <tableStyle count="2" pivot="0" name="FASTRTPS-style 5">
      <tableStyleElement dxfId="2" type="firstRowStripe"/>
      <tableStyleElement dxfId="3" type="secondRowStripe"/>
    </tableStyle>
    <tableStyle count="3" pivot="0" name="FASTRTPS-style 6">
      <tableStyleElement dxfId="1" type="headerRow"/>
      <tableStyleElement dxfId="2" type="firstRowStripe"/>
      <tableStyleElement dxfId="3" type="secondRowStripe"/>
    </tableStyle>
    <tableStyle count="3" pivot="0" name="FASTRTPS-style 7">
      <tableStyleElement dxfId="1" type="headerRow"/>
      <tableStyleElement dxfId="2" type="firstRowStripe"/>
      <tableStyleElement dxfId="3" type="secondRowStripe"/>
    </tableStyle>
    <tableStyle count="3" pivot="0" name="FASTRTPS-style 8">
      <tableStyleElement dxfId="1" type="headerRow"/>
      <tableStyleElement dxfId="2" type="firstRowStripe"/>
      <tableStyleElement dxfId="3" type="secondRowStripe"/>
    </tableStyle>
    <tableStyle count="3" pivot="0" name="FASTRTPS-style 9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B4:H19" displayName="Module_Processing_Time" name="Module_Processing_Time" id="1">
  <tableColumns count="7">
    <tableColumn name="Tasks" id="1"/>
    <tableColumn name="MIN" id="2"/>
    <tableColumn name="MAX" id="3"/>
    <tableColumn name="AVG" id="4"/>
    <tableColumn name="STDEV" id="5"/>
    <tableColumn name="p95" id="6"/>
    <tableColumn name="p99" id="7"/>
  </tableColumns>
  <tableStyleInfo name="FASTRTPS-style" showColumnStripes="0" showFirstColumn="1" showLastColumn="1" showRowStripes="1"/>
</table>
</file>

<file path=xl/tables/table2.xml><?xml version="1.0" encoding="utf-8"?>
<table xmlns="http://schemas.openxmlformats.org/spreadsheetml/2006/main" ref="K4:Q22" displayName="Module_Communication_Latency" name="Module_Communication_Latency" id="2">
  <tableColumns count="7">
    <tableColumn name="Tasks" id="1"/>
    <tableColumn name="MIN" id="2"/>
    <tableColumn name="MAX" id="3"/>
    <tableColumn name="AVG" id="4"/>
    <tableColumn name="STDEV" id="5"/>
    <tableColumn name="p95" id="6"/>
    <tableColumn name="p99" id="7"/>
  </tableColumns>
  <tableStyleInfo name="FASTRTPS-style 2" showColumnStripes="0" showFirstColumn="1" showLastColumn="1" showRowStripes="1"/>
</table>
</file>

<file path=xl/tables/table3.xml><?xml version="1.0" encoding="utf-8"?>
<table xmlns="http://schemas.openxmlformats.org/spreadsheetml/2006/main" ref="S4:Y10" displayName="E2E" name="E2E" id="3">
  <tableColumns count="7">
    <tableColumn name="Tasks" id="1"/>
    <tableColumn name="MIN" id="2"/>
    <tableColumn name="MAX" id="3"/>
    <tableColumn name="AVG" id="4"/>
    <tableColumn name="STDEV" id="5"/>
    <tableColumn name="p95" id="6"/>
    <tableColumn name="p99" id="7"/>
  </tableColumns>
  <tableStyleInfo name="FASTRTPS-style 3" showColumnStripes="0" showFirstColumn="1" showLastColumn="1" showRowStripes="1"/>
</table>
</file>

<file path=xl/tables/table4.xml><?xml version="1.0" encoding="utf-8"?>
<table xmlns="http://schemas.openxmlformats.org/spreadsheetml/2006/main" ref="S13:Y22" displayName="Preprocessing" name="Preprocessing" id="4">
  <tableColumns count="7">
    <tableColumn name="Tasks" id="1"/>
    <tableColumn name="MIN" id="2"/>
    <tableColumn name="MAX" id="3"/>
    <tableColumn name="AVG" id="4"/>
    <tableColumn name="STDEV" id="5"/>
    <tableColumn name="p95" id="6"/>
    <tableColumn name="p99" id="7"/>
  </tableColumns>
  <tableStyleInfo name="FASTRTPS-style 4" showColumnStripes="0" showFirstColumn="1" showLastColumn="1" showRowStripes="1"/>
</table>
</file>

<file path=xl/tables/table5.xml><?xml version="1.0" encoding="utf-8"?>
<table xmlns="http://schemas.openxmlformats.org/spreadsheetml/2006/main" headerRowCount="0" ref="S23:Y23" displayName="Table_1" name="Table_1" id="5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FASTRTPS-style 5" showColumnStripes="0" showFirstColumn="1" showLastColumn="1" showRowStripes="1"/>
</table>
</file>

<file path=xl/tables/table6.xml><?xml version="1.0" encoding="utf-8"?>
<table xmlns="http://schemas.openxmlformats.org/spreadsheetml/2006/main" ref="B24:H30" displayName="Localization_latency" name="Localization_latency" id="6">
  <tableColumns count="7">
    <tableColumn name="Tasks" id="1"/>
    <tableColumn name="MIN" id="2"/>
    <tableColumn name="MAX" id="3"/>
    <tableColumn name="AVG" id="4"/>
    <tableColumn name="STDEV" id="5"/>
    <tableColumn name="p95" id="6"/>
    <tableColumn name="p99" id="7"/>
  </tableColumns>
  <tableStyleInfo name="FASTRTPS-style 6" showColumnStripes="0" showFirstColumn="1" showLastColumn="1" showRowStripes="1"/>
</table>
</file>

<file path=xl/tables/table7.xml><?xml version="1.0" encoding="utf-8"?>
<table xmlns="http://schemas.openxmlformats.org/spreadsheetml/2006/main" ref="K24:Q40" displayName="Perception_Latency" name="Perception_Latency" id="7">
  <tableColumns count="7">
    <tableColumn name="Tasks" id="1"/>
    <tableColumn name="MIN" id="2"/>
    <tableColumn name="MAX" id="3"/>
    <tableColumn name="AVG" id="4"/>
    <tableColumn name="STDEV" id="5"/>
    <tableColumn name="p95" id="6"/>
    <tableColumn name="p99" id="7"/>
  </tableColumns>
  <tableStyleInfo name="FASTRTPS-style 7" showColumnStripes="0" showFirstColumn="1" showLastColumn="1" showRowStripes="1"/>
</table>
</file>

<file path=xl/tables/table8.xml><?xml version="1.0" encoding="utf-8"?>
<table xmlns="http://schemas.openxmlformats.org/spreadsheetml/2006/main" ref="S25:Y42" displayName="Planning_Latency" name="Planning_Latency" id="8">
  <tableColumns count="7">
    <tableColumn name="Tasks" id="1"/>
    <tableColumn name="MIN" id="2"/>
    <tableColumn name="MAX" id="3"/>
    <tableColumn name="AVG" id="4"/>
    <tableColumn name="STDEV" id="5"/>
    <tableColumn name="p95" id="6"/>
    <tableColumn name="p99" id="7"/>
  </tableColumns>
  <tableStyleInfo name="FASTRTPS-style 8" showColumnStripes="0" showFirstColumn="1" showLastColumn="1" showRowStripes="1"/>
</table>
</file>

<file path=xl/tables/table9.xml><?xml version="1.0" encoding="utf-8"?>
<table xmlns="http://schemas.openxmlformats.org/spreadsheetml/2006/main" ref="B33:H39" displayName="Total_time_wasted_in_communicatoin" name="Total_time_wasted_in_communicatoin" id="9">
  <tableColumns count="7">
    <tableColumn name="Tasks" id="1"/>
    <tableColumn name="MIN" id="2"/>
    <tableColumn name="MAX" id="3"/>
    <tableColumn name="AVG" id="4"/>
    <tableColumn name="STDEV" id="5"/>
    <tableColumn name="p95" id="6"/>
    <tableColumn name="p99" id="7"/>
  </tableColumns>
  <tableStyleInfo name="FASTRTPS-style 9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11" Type="http://schemas.openxmlformats.org/officeDocument/2006/relationships/table" Target="../tables/table1.xml"/><Relationship Id="rId13" Type="http://schemas.openxmlformats.org/officeDocument/2006/relationships/table" Target="../tables/table3.xml"/><Relationship Id="rId12" Type="http://schemas.openxmlformats.org/officeDocument/2006/relationships/table" Target="../tables/table2.xml"/><Relationship Id="rId15" Type="http://schemas.openxmlformats.org/officeDocument/2006/relationships/table" Target="../tables/table5.xml"/><Relationship Id="rId14" Type="http://schemas.openxmlformats.org/officeDocument/2006/relationships/table" Target="../tables/table4.xml"/><Relationship Id="rId17" Type="http://schemas.openxmlformats.org/officeDocument/2006/relationships/table" Target="../tables/table7.xml"/><Relationship Id="rId16" Type="http://schemas.openxmlformats.org/officeDocument/2006/relationships/table" Target="../tables/table6.xml"/><Relationship Id="rId19" Type="http://schemas.openxmlformats.org/officeDocument/2006/relationships/table" Target="../tables/table9.xml"/><Relationship Id="rId18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5.75"/>
    <col customWidth="1" min="3" max="3" width="12.0"/>
    <col customWidth="1" min="4" max="4" width="12.38"/>
    <col customWidth="1" min="5" max="5" width="13.88"/>
    <col customWidth="1" min="6" max="6" width="14.25"/>
    <col customWidth="1" min="7" max="8" width="12.0"/>
    <col customWidth="1" min="10" max="10" width="13.88"/>
    <col customWidth="1" min="11" max="11" width="47.63"/>
    <col customWidth="1" min="12" max="12" width="11.75"/>
    <col customWidth="1" min="13" max="13" width="12.38"/>
    <col customWidth="1" min="14" max="14" width="12.13"/>
    <col customWidth="1" min="15" max="15" width="14.25"/>
    <col customWidth="1" min="16" max="17" width="11.5"/>
    <col customWidth="1" min="19" max="19" width="37.13"/>
    <col customWidth="1" min="20" max="20" width="11.75"/>
    <col customWidth="1" min="21" max="21" width="12.38"/>
    <col customWidth="1" min="22" max="22" width="12.13"/>
    <col customWidth="1" min="23" max="23" width="14.25"/>
    <col customWidth="1" min="24" max="25" width="11.5"/>
  </cols>
  <sheetData>
    <row r="4">
      <c r="B4" s="1" t="s">
        <v>0</v>
      </c>
      <c r="C4" s="2" t="s">
        <v>1</v>
      </c>
      <c r="D4" s="2" t="s">
        <v>2</v>
      </c>
      <c r="E4" s="2" t="s">
        <v>3</v>
      </c>
      <c r="F4" s="2" t="s">
        <v>4</v>
      </c>
      <c r="G4" s="2" t="s">
        <v>5</v>
      </c>
      <c r="H4" s="3" t="s">
        <v>6</v>
      </c>
      <c r="K4" s="1" t="s">
        <v>0</v>
      </c>
      <c r="L4" s="2" t="s">
        <v>1</v>
      </c>
      <c r="M4" s="2" t="s">
        <v>2</v>
      </c>
      <c r="N4" s="2" t="s">
        <v>3</v>
      </c>
      <c r="O4" s="2" t="s">
        <v>4</v>
      </c>
      <c r="P4" s="2" t="s">
        <v>5</v>
      </c>
      <c r="Q4" s="3" t="s">
        <v>6</v>
      </c>
      <c r="S4" s="1" t="s">
        <v>0</v>
      </c>
      <c r="T4" s="2" t="s">
        <v>1</v>
      </c>
      <c r="U4" s="2" t="s">
        <v>2</v>
      </c>
      <c r="V4" s="2" t="s">
        <v>3</v>
      </c>
      <c r="W4" s="2" t="s">
        <v>4</v>
      </c>
      <c r="X4" s="2" t="s">
        <v>5</v>
      </c>
      <c r="Y4" s="3" t="s">
        <v>6</v>
      </c>
    </row>
    <row r="5">
      <c r="B5" s="4" t="s">
        <v>7</v>
      </c>
      <c r="C5" s="5">
        <v>4.026</v>
      </c>
      <c r="D5" s="5">
        <v>51.435</v>
      </c>
      <c r="E5" s="5">
        <v>6.747519888</v>
      </c>
      <c r="F5" s="5">
        <v>3.64832971</v>
      </c>
      <c r="G5" s="5">
        <v>13.572</v>
      </c>
      <c r="H5" s="6">
        <v>18.24784</v>
      </c>
      <c r="K5" s="7" t="s">
        <v>8</v>
      </c>
      <c r="L5" s="8">
        <v>1.0</v>
      </c>
      <c r="M5" s="8">
        <v>30.0</v>
      </c>
      <c r="N5" s="8">
        <v>1.595358224</v>
      </c>
      <c r="O5" s="8">
        <v>1.869137609</v>
      </c>
      <c r="P5" s="8">
        <v>4.0</v>
      </c>
      <c r="Q5" s="9">
        <v>9.1</v>
      </c>
      <c r="S5" s="7" t="s">
        <v>9</v>
      </c>
      <c r="T5" s="10">
        <v>188.75</v>
      </c>
      <c r="U5" s="10">
        <v>514.595</v>
      </c>
      <c r="V5" s="10">
        <v>280.859824108</v>
      </c>
      <c r="W5" s="10">
        <v>38.67645274600001</v>
      </c>
      <c r="X5" s="10">
        <v>396.1785</v>
      </c>
      <c r="Y5" s="11">
        <v>521.26161</v>
      </c>
    </row>
    <row r="6">
      <c r="B6" s="12" t="s">
        <v>10</v>
      </c>
      <c r="C6" s="13">
        <v>7.769000053</v>
      </c>
      <c r="D6" s="13">
        <v>61.47499847</v>
      </c>
      <c r="E6" s="13">
        <v>18.82634984</v>
      </c>
      <c r="F6" s="13">
        <v>9.621836743</v>
      </c>
      <c r="G6" s="13">
        <v>39.82224941</v>
      </c>
      <c r="H6" s="14">
        <v>48.01094952</v>
      </c>
      <c r="K6" s="15" t="s">
        <v>11</v>
      </c>
      <c r="L6" s="16">
        <v>1.0</v>
      </c>
      <c r="M6" s="16">
        <v>41.0</v>
      </c>
      <c r="N6" s="16">
        <v>1.89407062</v>
      </c>
      <c r="O6" s="16">
        <v>2.278326466</v>
      </c>
      <c r="P6" s="16">
        <v>5.0</v>
      </c>
      <c r="Q6" s="17">
        <v>9.0</v>
      </c>
      <c r="S6" s="15" t="s">
        <v>12</v>
      </c>
      <c r="T6" s="18">
        <v>18.769000053</v>
      </c>
      <c r="U6" s="18">
        <v>260.47499847</v>
      </c>
      <c r="V6" s="18">
        <v>30.96002834</v>
      </c>
      <c r="W6" s="18">
        <v>17.822039463</v>
      </c>
      <c r="X6" s="18">
        <v>66.82224941</v>
      </c>
      <c r="Y6" s="19">
        <v>91.01094952</v>
      </c>
    </row>
    <row r="7">
      <c r="B7" s="4" t="s">
        <v>13</v>
      </c>
      <c r="C7" s="5">
        <v>0.022</v>
      </c>
      <c r="D7" s="5">
        <v>4.299</v>
      </c>
      <c r="E7" s="5">
        <v>0.07139887955</v>
      </c>
      <c r="F7" s="5">
        <v>0.1566000375</v>
      </c>
      <c r="G7" s="5">
        <v>0.164</v>
      </c>
      <c r="H7" s="6">
        <v>0.44856</v>
      </c>
      <c r="K7" s="7" t="s">
        <v>14</v>
      </c>
      <c r="L7" s="8">
        <v>0.0</v>
      </c>
      <c r="M7" s="8">
        <v>110.0</v>
      </c>
      <c r="N7" s="8">
        <v>11.76844071</v>
      </c>
      <c r="O7" s="8">
        <v>23.54845022</v>
      </c>
      <c r="P7" s="8">
        <v>74.0</v>
      </c>
      <c r="Q7" s="9">
        <v>100.0</v>
      </c>
      <c r="S7" s="7" t="s">
        <v>15</v>
      </c>
      <c r="T7" s="10">
        <v>69.026</v>
      </c>
      <c r="U7" s="10">
        <v>392.435</v>
      </c>
      <c r="V7" s="10">
        <v>119.241488276</v>
      </c>
      <c r="W7" s="10">
        <v>40.733632654000004</v>
      </c>
      <c r="X7" s="10">
        <v>198.372</v>
      </c>
      <c r="Y7" s="11">
        <v>266.56784</v>
      </c>
    </row>
    <row r="8">
      <c r="B8" s="12" t="s">
        <v>16</v>
      </c>
      <c r="C8" s="13">
        <v>0.02</v>
      </c>
      <c r="D8" s="13">
        <v>0.727</v>
      </c>
      <c r="E8" s="13">
        <v>0.0484907563</v>
      </c>
      <c r="F8" s="13">
        <v>0.04595736776</v>
      </c>
      <c r="G8" s="13">
        <v>0.119</v>
      </c>
      <c r="H8" s="14">
        <v>0.22616</v>
      </c>
      <c r="K8" s="15" t="s">
        <v>17</v>
      </c>
      <c r="L8" s="16">
        <v>19.0</v>
      </c>
      <c r="M8" s="16">
        <v>73.0</v>
      </c>
      <c r="N8" s="16">
        <v>31.38414634</v>
      </c>
      <c r="O8" s="16">
        <v>7.809232967</v>
      </c>
      <c r="P8" s="16">
        <v>45.0</v>
      </c>
      <c r="Q8" s="17">
        <v>56.0</v>
      </c>
      <c r="S8" s="15" t="s">
        <v>18</v>
      </c>
      <c r="T8" s="18">
        <v>43.818339</v>
      </c>
      <c r="U8" s="18">
        <v>250.466773</v>
      </c>
      <c r="V8" s="18">
        <v>90.84379860070001</v>
      </c>
      <c r="W8" s="18">
        <v>25.8468382378</v>
      </c>
      <c r="X8" s="18">
        <v>127.42127334999999</v>
      </c>
      <c r="Y8" s="19">
        <v>157.95706976999998</v>
      </c>
    </row>
    <row r="9">
      <c r="B9" s="4" t="s">
        <v>19</v>
      </c>
      <c r="C9" s="5">
        <v>1.259</v>
      </c>
      <c r="D9" s="5">
        <v>28.705</v>
      </c>
      <c r="E9" s="5">
        <v>2.217931092</v>
      </c>
      <c r="F9" s="5">
        <v>1.409282853</v>
      </c>
      <c r="G9" s="5">
        <v>4.8598</v>
      </c>
      <c r="H9" s="6">
        <v>6.41912</v>
      </c>
      <c r="K9" s="7" t="s">
        <v>20</v>
      </c>
      <c r="L9" s="8">
        <v>19.0</v>
      </c>
      <c r="M9" s="8">
        <v>71.0</v>
      </c>
      <c r="N9" s="8">
        <v>33.35838926</v>
      </c>
      <c r="O9" s="8">
        <v>9.069720247</v>
      </c>
      <c r="P9" s="8">
        <v>50.8</v>
      </c>
      <c r="Q9" s="9">
        <v>65.56</v>
      </c>
      <c r="S9" s="7"/>
      <c r="T9" s="10"/>
      <c r="U9" s="10"/>
      <c r="V9" s="10"/>
      <c r="W9" s="10"/>
      <c r="X9" s="10"/>
      <c r="Y9" s="11"/>
    </row>
    <row r="10">
      <c r="B10" s="12" t="s">
        <v>21</v>
      </c>
      <c r="C10" s="13">
        <v>0.022</v>
      </c>
      <c r="D10" s="13">
        <v>2.79</v>
      </c>
      <c r="E10" s="13">
        <v>0.05999495798</v>
      </c>
      <c r="F10" s="13">
        <v>0.1238568376</v>
      </c>
      <c r="G10" s="13">
        <v>0.1278</v>
      </c>
      <c r="H10" s="14">
        <v>0.39592</v>
      </c>
      <c r="K10" s="15" t="s">
        <v>22</v>
      </c>
      <c r="L10" s="16">
        <v>5.0</v>
      </c>
      <c r="M10" s="16">
        <v>48.0</v>
      </c>
      <c r="N10" s="16">
        <v>9.568592058</v>
      </c>
      <c r="O10" s="16">
        <v>4.141990563</v>
      </c>
      <c r="P10" s="16">
        <v>17.0</v>
      </c>
      <c r="Q10" s="17">
        <v>23.0</v>
      </c>
      <c r="S10" s="20" t="s">
        <v>23</v>
      </c>
      <c r="T10" s="21">
        <f t="shared" ref="T10:Y10" si="1">SUM(T5:T9)</f>
        <v>320.3633391</v>
      </c>
      <c r="U10" s="21">
        <f t="shared" si="1"/>
        <v>1417.971771</v>
      </c>
      <c r="V10" s="21">
        <f t="shared" si="1"/>
        <v>521.9051393</v>
      </c>
      <c r="W10" s="21">
        <f t="shared" si="1"/>
        <v>123.0789631</v>
      </c>
      <c r="X10" s="21">
        <f t="shared" si="1"/>
        <v>788.7940228</v>
      </c>
      <c r="Y10" s="22">
        <f t="shared" si="1"/>
        <v>1036.797469</v>
      </c>
    </row>
    <row r="11">
      <c r="B11" s="4" t="s">
        <v>24</v>
      </c>
      <c r="C11" s="5">
        <v>0.043</v>
      </c>
      <c r="D11" s="5">
        <v>7.217</v>
      </c>
      <c r="E11" s="5">
        <v>0.1024588235</v>
      </c>
      <c r="F11" s="5">
        <v>0.2147535129</v>
      </c>
      <c r="G11" s="5">
        <v>0.232</v>
      </c>
      <c r="H11" s="6">
        <v>0.50092</v>
      </c>
      <c r="K11" s="7" t="s">
        <v>25</v>
      </c>
      <c r="L11" s="8">
        <v>17.0</v>
      </c>
      <c r="M11" s="8">
        <v>96.0</v>
      </c>
      <c r="N11" s="8">
        <v>27.54054054</v>
      </c>
      <c r="O11" s="8">
        <v>11.21887103</v>
      </c>
      <c r="P11" s="8">
        <v>53.0</v>
      </c>
      <c r="Q11" s="9">
        <v>73.26</v>
      </c>
    </row>
    <row r="12">
      <c r="B12" s="12" t="s">
        <v>26</v>
      </c>
      <c r="C12" s="13">
        <v>0.793</v>
      </c>
      <c r="D12" s="13">
        <v>18.217</v>
      </c>
      <c r="E12" s="13">
        <v>1.390615126</v>
      </c>
      <c r="F12" s="13">
        <v>0.9001447537</v>
      </c>
      <c r="G12" s="13">
        <v>3.0796</v>
      </c>
      <c r="H12" s="14">
        <v>4.02464</v>
      </c>
      <c r="K12" s="15" t="s">
        <v>27</v>
      </c>
      <c r="L12" s="16">
        <v>5.0</v>
      </c>
      <c r="M12" s="16">
        <v>53.0</v>
      </c>
      <c r="N12" s="16">
        <v>10.64230019</v>
      </c>
      <c r="O12" s="16">
        <v>4.845488137</v>
      </c>
      <c r="P12" s="16">
        <v>19.0</v>
      </c>
      <c r="Q12" s="17">
        <v>30.5</v>
      </c>
    </row>
    <row r="13">
      <c r="B13" s="4" t="s">
        <v>28</v>
      </c>
      <c r="C13" s="5">
        <v>0.022</v>
      </c>
      <c r="D13" s="5">
        <v>1.035</v>
      </c>
      <c r="E13" s="5">
        <v>0.0540745098</v>
      </c>
      <c r="F13" s="5">
        <v>0.05720721466</v>
      </c>
      <c r="G13" s="5">
        <v>0.144</v>
      </c>
      <c r="H13" s="6">
        <v>0.2368</v>
      </c>
      <c r="K13" s="7" t="s">
        <v>29</v>
      </c>
      <c r="L13" s="8">
        <v>11.0</v>
      </c>
      <c r="M13" s="8">
        <v>62.0</v>
      </c>
      <c r="N13" s="8">
        <v>22.64341085</v>
      </c>
      <c r="O13" s="8">
        <v>6.375478544</v>
      </c>
      <c r="P13" s="8">
        <v>33.0</v>
      </c>
      <c r="Q13" s="9">
        <v>54.69</v>
      </c>
      <c r="S13" s="1" t="s">
        <v>0</v>
      </c>
      <c r="T13" s="2" t="s">
        <v>1</v>
      </c>
      <c r="U13" s="2" t="s">
        <v>2</v>
      </c>
      <c r="V13" s="2" t="s">
        <v>3</v>
      </c>
      <c r="W13" s="2" t="s">
        <v>4</v>
      </c>
      <c r="X13" s="2" t="s">
        <v>5</v>
      </c>
      <c r="Y13" s="3" t="s">
        <v>6</v>
      </c>
    </row>
    <row r="14">
      <c r="B14" s="12" t="s">
        <v>30</v>
      </c>
      <c r="C14" s="13">
        <v>4.0</v>
      </c>
      <c r="D14" s="13">
        <v>107.362</v>
      </c>
      <c r="E14" s="13">
        <v>36.6081862</v>
      </c>
      <c r="F14" s="13">
        <v>12.61694268</v>
      </c>
      <c r="G14" s="13">
        <v>62.6701</v>
      </c>
      <c r="H14" s="14">
        <v>77.3139</v>
      </c>
      <c r="K14" s="15" t="s">
        <v>31</v>
      </c>
      <c r="L14" s="16">
        <v>11.0</v>
      </c>
      <c r="M14" s="16">
        <v>65.0</v>
      </c>
      <c r="N14" s="16">
        <v>23.45656028</v>
      </c>
      <c r="O14" s="16">
        <v>8.038387903</v>
      </c>
      <c r="P14" s="16">
        <v>43.0</v>
      </c>
      <c r="Q14" s="17">
        <v>56.73</v>
      </c>
      <c r="S14" s="7" t="s">
        <v>32</v>
      </c>
      <c r="T14" s="10">
        <v>32.0</v>
      </c>
      <c r="U14" s="10">
        <v>161.0</v>
      </c>
      <c r="V14" s="10">
        <v>75.33477455</v>
      </c>
      <c r="W14" s="10">
        <v>19.15896277</v>
      </c>
      <c r="X14" s="10">
        <v>101.0</v>
      </c>
      <c r="Y14" s="11">
        <v>115.0</v>
      </c>
    </row>
    <row r="15">
      <c r="B15" s="4" t="s">
        <v>33</v>
      </c>
      <c r="C15" s="5">
        <v>23.106</v>
      </c>
      <c r="D15" s="5">
        <v>113.622</v>
      </c>
      <c r="E15" s="5">
        <v>42.66261279</v>
      </c>
      <c r="F15" s="5">
        <v>15.27792037</v>
      </c>
      <c r="G15" s="5">
        <v>70.4743</v>
      </c>
      <c r="H15" s="6">
        <v>89.41612</v>
      </c>
      <c r="K15" s="7" t="s">
        <v>34</v>
      </c>
      <c r="L15" s="8">
        <v>70.0</v>
      </c>
      <c r="M15" s="8">
        <v>209.0</v>
      </c>
      <c r="N15" s="8">
        <v>116.0708469</v>
      </c>
      <c r="O15" s="8">
        <v>18.55885232</v>
      </c>
      <c r="P15" s="8">
        <v>150.65</v>
      </c>
      <c r="Q15" s="9">
        <v>168.0</v>
      </c>
      <c r="S15" s="15" t="s">
        <v>35</v>
      </c>
      <c r="T15" s="18">
        <v>0.18076</v>
      </c>
      <c r="U15" s="18">
        <v>4.39248</v>
      </c>
      <c r="V15" s="18">
        <v>0.3489045623</v>
      </c>
      <c r="W15" s="18">
        <v>0.3574084296</v>
      </c>
      <c r="X15" s="18">
        <v>0.8769689</v>
      </c>
      <c r="Y15" s="19">
        <v>2.0384347</v>
      </c>
    </row>
    <row r="16">
      <c r="B16" s="12" t="s">
        <v>36</v>
      </c>
      <c r="C16" s="13">
        <v>8.706</v>
      </c>
      <c r="D16" s="13">
        <v>55.974</v>
      </c>
      <c r="E16" s="13">
        <v>14.80105602</v>
      </c>
      <c r="F16" s="13">
        <v>6.699672691</v>
      </c>
      <c r="G16" s="13">
        <v>31.1604</v>
      </c>
      <c r="H16" s="14">
        <v>41.43924</v>
      </c>
      <c r="K16" s="15" t="s">
        <v>37</v>
      </c>
      <c r="L16" s="16">
        <v>101.0</v>
      </c>
      <c r="M16" s="16">
        <v>265.0</v>
      </c>
      <c r="N16" s="16">
        <v>161.9959839</v>
      </c>
      <c r="O16" s="16">
        <v>24.07145345</v>
      </c>
      <c r="P16" s="16">
        <v>209.8</v>
      </c>
      <c r="Q16" s="17">
        <v>244.56</v>
      </c>
      <c r="S16" s="7" t="s">
        <v>38</v>
      </c>
      <c r="T16" s="10">
        <v>0.097686</v>
      </c>
      <c r="U16" s="10">
        <v>4.75481</v>
      </c>
      <c r="V16" s="10">
        <v>0.2368563464</v>
      </c>
      <c r="W16" s="10">
        <v>0.3083852878</v>
      </c>
      <c r="X16" s="10">
        <v>0.5027949</v>
      </c>
      <c r="Y16" s="11">
        <v>1.2082672</v>
      </c>
    </row>
    <row r="17">
      <c r="B17" s="4" t="s">
        <v>39</v>
      </c>
      <c r="C17" s="5">
        <v>1.644</v>
      </c>
      <c r="D17" s="5">
        <v>17.005</v>
      </c>
      <c r="E17" s="5">
        <v>3.769556358</v>
      </c>
      <c r="F17" s="5">
        <v>2.218705176</v>
      </c>
      <c r="G17" s="5">
        <v>8.88325</v>
      </c>
      <c r="H17" s="6">
        <v>11.70425</v>
      </c>
      <c r="K17" s="7" t="s">
        <v>40</v>
      </c>
      <c r="L17" s="8">
        <v>93.0</v>
      </c>
      <c r="M17" s="8">
        <v>250.0</v>
      </c>
      <c r="N17" s="8">
        <v>146.0797101</v>
      </c>
      <c r="O17" s="8">
        <v>20.99252955</v>
      </c>
      <c r="P17" s="8">
        <v>175.85</v>
      </c>
      <c r="Q17" s="9">
        <v>218.82</v>
      </c>
      <c r="S17" s="15" t="s">
        <v>41</v>
      </c>
      <c r="T17" s="18">
        <v>45.0</v>
      </c>
      <c r="U17" s="18">
        <v>177.0</v>
      </c>
      <c r="V17" s="18">
        <v>101.2143917</v>
      </c>
      <c r="W17" s="18">
        <v>21.25845901</v>
      </c>
      <c r="X17" s="18">
        <v>128.0</v>
      </c>
      <c r="Y17" s="19">
        <v>138.0</v>
      </c>
    </row>
    <row r="18">
      <c r="B18" s="12" t="s">
        <v>42</v>
      </c>
      <c r="C18" s="13">
        <v>2.0</v>
      </c>
      <c r="D18" s="13">
        <v>69.606</v>
      </c>
      <c r="E18" s="13">
        <v>28.91205493</v>
      </c>
      <c r="F18" s="13">
        <v>7.162033833</v>
      </c>
      <c r="G18" s="13">
        <v>45.85085</v>
      </c>
      <c r="H18" s="14">
        <v>60.02734</v>
      </c>
      <c r="K18" s="15" t="s">
        <v>41</v>
      </c>
      <c r="L18" s="16">
        <v>45.0</v>
      </c>
      <c r="M18" s="16">
        <v>177.0</v>
      </c>
      <c r="N18" s="16">
        <v>101.2143917</v>
      </c>
      <c r="O18" s="16">
        <v>21.25845901</v>
      </c>
      <c r="P18" s="16">
        <v>128.0</v>
      </c>
      <c r="Q18" s="17">
        <v>138.0</v>
      </c>
      <c r="S18" s="7" t="s">
        <v>43</v>
      </c>
      <c r="T18" s="10">
        <v>10.684372</v>
      </c>
      <c r="U18" s="10">
        <v>55.660371</v>
      </c>
      <c r="V18" s="10">
        <v>13.68111099</v>
      </c>
      <c r="W18" s="10">
        <v>5.067169029</v>
      </c>
      <c r="X18" s="10">
        <v>22.84498975</v>
      </c>
      <c r="Y18" s="11">
        <v>36.63433802</v>
      </c>
    </row>
    <row r="19">
      <c r="B19" s="23" t="s">
        <v>44</v>
      </c>
      <c r="C19" s="24">
        <f t="shared" ref="C19:H19" si="2">MAX(C6, MAX(C16,C15)+C17+C14+C18)+MAX(C5,C7,C8,C9,C10,C11,C12,C13)</f>
        <v>34.776</v>
      </c>
      <c r="D19" s="24">
        <f t="shared" si="2"/>
        <v>359.03</v>
      </c>
      <c r="E19" s="24">
        <f t="shared" si="2"/>
        <v>118.6999302</v>
      </c>
      <c r="F19" s="24">
        <f t="shared" si="2"/>
        <v>40.92393177</v>
      </c>
      <c r="G19" s="24">
        <f t="shared" si="2"/>
        <v>201.4505</v>
      </c>
      <c r="H19" s="25">
        <f t="shared" si="2"/>
        <v>256.70945</v>
      </c>
      <c r="K19" s="7" t="s">
        <v>45</v>
      </c>
      <c r="L19" s="8">
        <v>56.0</v>
      </c>
      <c r="M19" s="8">
        <v>376.0</v>
      </c>
      <c r="N19" s="8">
        <v>113.3480702</v>
      </c>
      <c r="O19" s="8">
        <v>29.45866173</v>
      </c>
      <c r="P19" s="8">
        <v>155.0</v>
      </c>
      <c r="Q19" s="9">
        <v>181.0</v>
      </c>
      <c r="S19" s="15" t="s">
        <v>46</v>
      </c>
      <c r="T19" s="18">
        <v>0.855521</v>
      </c>
      <c r="U19" s="18">
        <v>24.659112</v>
      </c>
      <c r="V19" s="18">
        <v>1.242152152</v>
      </c>
      <c r="W19" s="18">
        <v>0.9549127214</v>
      </c>
      <c r="X19" s="18">
        <v>2.1965198</v>
      </c>
      <c r="Y19" s="19">
        <v>3.07602985</v>
      </c>
    </row>
    <row r="20">
      <c r="K20" s="15" t="s">
        <v>32</v>
      </c>
      <c r="L20" s="16">
        <v>32.0</v>
      </c>
      <c r="M20" s="16">
        <v>161.0</v>
      </c>
      <c r="N20" s="16">
        <v>75.33477455</v>
      </c>
      <c r="O20" s="16">
        <v>19.15896277</v>
      </c>
      <c r="P20" s="16">
        <v>101.0</v>
      </c>
      <c r="Q20" s="17">
        <v>115.0</v>
      </c>
      <c r="S20" s="7" t="s">
        <v>44</v>
      </c>
      <c r="T20" s="10">
        <f t="shared" ref="T20:Y20" si="3">T18+T19</f>
        <v>11.539893</v>
      </c>
      <c r="U20" s="10">
        <f t="shared" si="3"/>
        <v>80.319483</v>
      </c>
      <c r="V20" s="10">
        <f t="shared" si="3"/>
        <v>14.92326314</v>
      </c>
      <c r="W20" s="10">
        <f t="shared" si="3"/>
        <v>6.02208175</v>
      </c>
      <c r="X20" s="10">
        <f t="shared" si="3"/>
        <v>25.04150955</v>
      </c>
      <c r="Y20" s="11">
        <f t="shared" si="3"/>
        <v>39.71036787</v>
      </c>
    </row>
    <row r="21">
      <c r="K21" s="7" t="s">
        <v>47</v>
      </c>
      <c r="L21" s="8">
        <v>1.0</v>
      </c>
      <c r="M21" s="8">
        <v>11.0</v>
      </c>
      <c r="N21" s="8">
        <v>1.27032386</v>
      </c>
      <c r="O21" s="8">
        <v>0.904295138</v>
      </c>
      <c r="P21" s="8">
        <v>3.0</v>
      </c>
      <c r="Q21" s="9">
        <v>5.0</v>
      </c>
      <c r="S21" s="15" t="s">
        <v>48</v>
      </c>
      <c r="T21" s="18">
        <f t="shared" ref="T21:Y21" si="4">T14+T15+T16</f>
        <v>32.278446</v>
      </c>
      <c r="U21" s="18">
        <f t="shared" si="4"/>
        <v>170.14729</v>
      </c>
      <c r="V21" s="18">
        <f t="shared" si="4"/>
        <v>75.92053546</v>
      </c>
      <c r="W21" s="18">
        <f t="shared" si="4"/>
        <v>19.82475649</v>
      </c>
      <c r="X21" s="18">
        <f t="shared" si="4"/>
        <v>102.3797638</v>
      </c>
      <c r="Y21" s="19">
        <f t="shared" si="4"/>
        <v>118.2467019</v>
      </c>
    </row>
    <row r="22">
      <c r="K22" s="20" t="s">
        <v>49</v>
      </c>
      <c r="L22" s="26"/>
      <c r="M22" s="21"/>
      <c r="N22" s="21"/>
      <c r="O22" s="21"/>
      <c r="P22" s="21"/>
      <c r="Q22" s="22"/>
      <c r="S22" s="27" t="s">
        <v>50</v>
      </c>
      <c r="T22" s="28">
        <f t="shared" ref="T22:Y22" si="5">T20+T21</f>
        <v>43.818339</v>
      </c>
      <c r="U22" s="28">
        <f t="shared" si="5"/>
        <v>250.466773</v>
      </c>
      <c r="V22" s="28">
        <f t="shared" si="5"/>
        <v>90.8437986</v>
      </c>
      <c r="W22" s="28">
        <f t="shared" si="5"/>
        <v>25.84683824</v>
      </c>
      <c r="X22" s="28">
        <f t="shared" si="5"/>
        <v>127.4212734</v>
      </c>
      <c r="Y22" s="29">
        <f t="shared" si="5"/>
        <v>157.9570698</v>
      </c>
    </row>
    <row r="23">
      <c r="S23" s="30"/>
      <c r="T23" s="31"/>
      <c r="U23" s="31"/>
      <c r="V23" s="31"/>
      <c r="W23" s="31"/>
      <c r="X23" s="31"/>
      <c r="Y23" s="31"/>
    </row>
    <row r="24">
      <c r="B24" s="1" t="s">
        <v>0</v>
      </c>
      <c r="C24" s="2" t="s">
        <v>1</v>
      </c>
      <c r="D24" s="2" t="s">
        <v>2</v>
      </c>
      <c r="E24" s="2" t="s">
        <v>3</v>
      </c>
      <c r="F24" s="2" t="s">
        <v>4</v>
      </c>
      <c r="G24" s="2" t="s">
        <v>5</v>
      </c>
      <c r="H24" s="3" t="s">
        <v>6</v>
      </c>
      <c r="K24" s="1" t="s">
        <v>0</v>
      </c>
      <c r="L24" s="2" t="s">
        <v>1</v>
      </c>
      <c r="M24" s="2" t="s">
        <v>2</v>
      </c>
      <c r="N24" s="2" t="s">
        <v>3</v>
      </c>
      <c r="O24" s="2" t="s">
        <v>4</v>
      </c>
      <c r="P24" s="2" t="s">
        <v>5</v>
      </c>
      <c r="Q24" s="3" t="s">
        <v>6</v>
      </c>
      <c r="Y24" s="31"/>
    </row>
    <row r="25">
      <c r="B25" s="7" t="s">
        <v>41</v>
      </c>
      <c r="C25" s="10">
        <v>45.0</v>
      </c>
      <c r="D25" s="10">
        <v>177.0</v>
      </c>
      <c r="E25" s="10">
        <v>101.2143917</v>
      </c>
      <c r="F25" s="10">
        <v>21.25845901</v>
      </c>
      <c r="G25" s="10">
        <v>128.0</v>
      </c>
      <c r="H25" s="11">
        <v>138.0</v>
      </c>
      <c r="K25" s="7" t="s">
        <v>29</v>
      </c>
      <c r="L25" s="10">
        <v>11.0</v>
      </c>
      <c r="M25" s="10">
        <v>62.0</v>
      </c>
      <c r="N25" s="10">
        <v>22.64341085</v>
      </c>
      <c r="O25" s="10">
        <v>6.375478544</v>
      </c>
      <c r="P25" s="10">
        <v>33.0</v>
      </c>
      <c r="Q25" s="11">
        <v>54.69</v>
      </c>
      <c r="S25" s="1" t="s">
        <v>0</v>
      </c>
      <c r="T25" s="2" t="s">
        <v>1</v>
      </c>
      <c r="U25" s="2" t="s">
        <v>2</v>
      </c>
      <c r="V25" s="2" t="s">
        <v>3</v>
      </c>
      <c r="W25" s="2" t="s">
        <v>4</v>
      </c>
      <c r="X25" s="2" t="s">
        <v>5</v>
      </c>
      <c r="Y25" s="3" t="s">
        <v>6</v>
      </c>
    </row>
    <row r="26">
      <c r="B26" s="12" t="s">
        <v>10</v>
      </c>
      <c r="C26" s="13">
        <v>7.769000053</v>
      </c>
      <c r="D26" s="13">
        <v>61.47499847</v>
      </c>
      <c r="E26" s="13">
        <v>18.82634984</v>
      </c>
      <c r="F26" s="13">
        <v>9.621836743</v>
      </c>
      <c r="G26" s="13">
        <v>39.82224941</v>
      </c>
      <c r="H26" s="14">
        <v>48.01094952</v>
      </c>
      <c r="K26" s="15" t="s">
        <v>31</v>
      </c>
      <c r="L26" s="18">
        <v>11.0</v>
      </c>
      <c r="M26" s="18">
        <v>65.0</v>
      </c>
      <c r="N26" s="18">
        <v>23.45656028</v>
      </c>
      <c r="O26" s="18">
        <v>8.038387903</v>
      </c>
      <c r="P26" s="18">
        <v>43.0</v>
      </c>
      <c r="Q26" s="19">
        <v>56.73</v>
      </c>
      <c r="S26" s="7" t="s">
        <v>17</v>
      </c>
      <c r="T26" s="10">
        <v>19.0</v>
      </c>
      <c r="U26" s="10">
        <v>73.0</v>
      </c>
      <c r="V26" s="10">
        <v>31.38414634</v>
      </c>
      <c r="W26" s="10">
        <v>7.809232967</v>
      </c>
      <c r="X26" s="10">
        <v>45.0</v>
      </c>
      <c r="Y26" s="11">
        <v>56.0</v>
      </c>
    </row>
    <row r="27">
      <c r="B27" s="7" t="s">
        <v>45</v>
      </c>
      <c r="C27" s="10">
        <v>56.0</v>
      </c>
      <c r="D27" s="10">
        <v>376.0</v>
      </c>
      <c r="E27" s="10">
        <v>113.3480702</v>
      </c>
      <c r="F27" s="10">
        <v>29.45866173</v>
      </c>
      <c r="G27" s="10">
        <v>155.0</v>
      </c>
      <c r="H27" s="11">
        <v>181.0</v>
      </c>
      <c r="K27" s="7" t="s">
        <v>34</v>
      </c>
      <c r="L27" s="10">
        <v>70.0</v>
      </c>
      <c r="M27" s="10">
        <v>209.0</v>
      </c>
      <c r="N27" s="10">
        <v>116.0708469</v>
      </c>
      <c r="O27" s="10">
        <v>18.55885232</v>
      </c>
      <c r="P27" s="10">
        <v>150.65</v>
      </c>
      <c r="Q27" s="11">
        <v>168.0</v>
      </c>
      <c r="S27" s="15" t="s">
        <v>20</v>
      </c>
      <c r="T27" s="18">
        <v>19.0</v>
      </c>
      <c r="U27" s="18">
        <v>71.0</v>
      </c>
      <c r="V27" s="18">
        <v>33.35838926</v>
      </c>
      <c r="W27" s="18">
        <v>9.069720247</v>
      </c>
      <c r="X27" s="18">
        <v>50.8</v>
      </c>
      <c r="Y27" s="19">
        <v>65.56</v>
      </c>
    </row>
    <row r="28">
      <c r="B28" s="15" t="s">
        <v>44</v>
      </c>
      <c r="C28" s="18">
        <f t="shared" ref="C28:H28" si="6">C26</f>
        <v>7.769000053</v>
      </c>
      <c r="D28" s="18">
        <f t="shared" si="6"/>
        <v>61.47499847</v>
      </c>
      <c r="E28" s="18">
        <f t="shared" si="6"/>
        <v>18.82634984</v>
      </c>
      <c r="F28" s="18">
        <f t="shared" si="6"/>
        <v>9.621836743</v>
      </c>
      <c r="G28" s="18">
        <f t="shared" si="6"/>
        <v>39.82224941</v>
      </c>
      <c r="H28" s="19">
        <f t="shared" si="6"/>
        <v>48.01094952</v>
      </c>
      <c r="K28" s="15" t="s">
        <v>32</v>
      </c>
      <c r="L28" s="18">
        <v>32.0</v>
      </c>
      <c r="M28" s="18">
        <v>161.0</v>
      </c>
      <c r="N28" s="18">
        <v>75.33477455</v>
      </c>
      <c r="O28" s="18">
        <v>19.15896277</v>
      </c>
      <c r="P28" s="18">
        <v>101.0</v>
      </c>
      <c r="Q28" s="19">
        <v>115.0</v>
      </c>
      <c r="S28" s="7" t="s">
        <v>22</v>
      </c>
      <c r="T28" s="10">
        <v>5.0</v>
      </c>
      <c r="U28" s="10">
        <v>48.0</v>
      </c>
      <c r="V28" s="10">
        <v>9.568592058</v>
      </c>
      <c r="W28" s="10">
        <v>4.141990563</v>
      </c>
      <c r="X28" s="10">
        <v>17.0</v>
      </c>
      <c r="Y28" s="11">
        <v>23.0</v>
      </c>
    </row>
    <row r="29">
      <c r="B29" s="7" t="s">
        <v>51</v>
      </c>
      <c r="C29" s="10">
        <f t="shared" ref="C29:H29" si="7">C27-C25</f>
        <v>11</v>
      </c>
      <c r="D29" s="10">
        <f t="shared" si="7"/>
        <v>199</v>
      </c>
      <c r="E29" s="10">
        <f t="shared" si="7"/>
        <v>12.1336785</v>
      </c>
      <c r="F29" s="10">
        <f t="shared" si="7"/>
        <v>8.20020272</v>
      </c>
      <c r="G29" s="10">
        <f t="shared" si="7"/>
        <v>27</v>
      </c>
      <c r="H29" s="11">
        <f t="shared" si="7"/>
        <v>43</v>
      </c>
      <c r="K29" s="7" t="s">
        <v>37</v>
      </c>
      <c r="L29" s="10">
        <v>101.0</v>
      </c>
      <c r="M29" s="10">
        <v>265.0</v>
      </c>
      <c r="N29" s="10">
        <v>161.9959839</v>
      </c>
      <c r="O29" s="10">
        <v>24.07145345</v>
      </c>
      <c r="P29" s="10">
        <v>209.8</v>
      </c>
      <c r="Q29" s="11">
        <v>244.56</v>
      </c>
      <c r="S29" s="15" t="s">
        <v>25</v>
      </c>
      <c r="T29" s="18">
        <v>17.0</v>
      </c>
      <c r="U29" s="18">
        <v>96.0</v>
      </c>
      <c r="V29" s="18">
        <v>27.54054054</v>
      </c>
      <c r="W29" s="18">
        <v>11.21887103</v>
      </c>
      <c r="X29" s="18">
        <v>53.0</v>
      </c>
      <c r="Y29" s="19">
        <v>73.26</v>
      </c>
    </row>
    <row r="30">
      <c r="B30" s="20" t="s">
        <v>52</v>
      </c>
      <c r="C30" s="21">
        <f t="shared" ref="C30:H30" si="8">C27-C25+C26</f>
        <v>18.76900005</v>
      </c>
      <c r="D30" s="21">
        <f t="shared" si="8"/>
        <v>260.4749985</v>
      </c>
      <c r="E30" s="21">
        <f t="shared" si="8"/>
        <v>30.96002834</v>
      </c>
      <c r="F30" s="21">
        <f t="shared" si="8"/>
        <v>17.82203946</v>
      </c>
      <c r="G30" s="21">
        <f t="shared" si="8"/>
        <v>66.82224941</v>
      </c>
      <c r="H30" s="22">
        <f t="shared" si="8"/>
        <v>91.01094952</v>
      </c>
      <c r="K30" s="15" t="s">
        <v>40</v>
      </c>
      <c r="L30" s="18">
        <v>93.0</v>
      </c>
      <c r="M30" s="18">
        <v>250.0</v>
      </c>
      <c r="N30" s="18">
        <v>146.0797101</v>
      </c>
      <c r="O30" s="18">
        <v>20.99252955</v>
      </c>
      <c r="P30" s="18">
        <v>175.85</v>
      </c>
      <c r="Q30" s="19">
        <v>218.82</v>
      </c>
      <c r="S30" s="7" t="s">
        <v>27</v>
      </c>
      <c r="T30" s="10">
        <v>5.0</v>
      </c>
      <c r="U30" s="10">
        <v>53.0</v>
      </c>
      <c r="V30" s="10">
        <v>10.64230019</v>
      </c>
      <c r="W30" s="10">
        <v>4.845488137</v>
      </c>
      <c r="X30" s="10">
        <v>19.0</v>
      </c>
      <c r="Y30" s="11">
        <v>30.5</v>
      </c>
    </row>
    <row r="31">
      <c r="K31" s="7" t="s">
        <v>30</v>
      </c>
      <c r="L31" s="10">
        <v>4.0</v>
      </c>
      <c r="M31" s="10">
        <v>107.362</v>
      </c>
      <c r="N31" s="10">
        <v>36.6081862</v>
      </c>
      <c r="O31" s="10">
        <v>12.61694268</v>
      </c>
      <c r="P31" s="10">
        <v>62.6701</v>
      </c>
      <c r="Q31" s="11">
        <v>77.3139</v>
      </c>
      <c r="S31" s="12" t="s">
        <v>7</v>
      </c>
      <c r="T31" s="13">
        <v>4.026</v>
      </c>
      <c r="U31" s="13">
        <v>51.435</v>
      </c>
      <c r="V31" s="13">
        <v>6.747519888</v>
      </c>
      <c r="W31" s="13">
        <v>3.64832971</v>
      </c>
      <c r="X31" s="13">
        <v>13.572</v>
      </c>
      <c r="Y31" s="14">
        <v>18.24784</v>
      </c>
    </row>
    <row r="32">
      <c r="K32" s="15" t="s">
        <v>33</v>
      </c>
      <c r="L32" s="18">
        <v>23.106</v>
      </c>
      <c r="M32" s="18">
        <v>113.622</v>
      </c>
      <c r="N32" s="18">
        <v>42.66261279</v>
      </c>
      <c r="O32" s="18">
        <v>15.27792037</v>
      </c>
      <c r="P32" s="18">
        <v>70.4743</v>
      </c>
      <c r="Q32" s="19">
        <v>89.41612</v>
      </c>
      <c r="S32" s="4" t="s">
        <v>13</v>
      </c>
      <c r="T32" s="5">
        <v>0.022</v>
      </c>
      <c r="U32" s="5">
        <v>4.299</v>
      </c>
      <c r="V32" s="5">
        <v>0.07139887955</v>
      </c>
      <c r="W32" s="5">
        <v>0.1566000375</v>
      </c>
      <c r="X32" s="5">
        <v>0.164</v>
      </c>
      <c r="Y32" s="6">
        <v>0.44856</v>
      </c>
    </row>
    <row r="33">
      <c r="B33" s="1" t="s">
        <v>0</v>
      </c>
      <c r="C33" s="2" t="s">
        <v>1</v>
      </c>
      <c r="D33" s="2" t="s">
        <v>2</v>
      </c>
      <c r="E33" s="2" t="s">
        <v>3</v>
      </c>
      <c r="F33" s="2" t="s">
        <v>4</v>
      </c>
      <c r="G33" s="2" t="s">
        <v>5</v>
      </c>
      <c r="H33" s="3" t="s">
        <v>6</v>
      </c>
      <c r="K33" s="7" t="s">
        <v>36</v>
      </c>
      <c r="L33" s="10">
        <v>8.706</v>
      </c>
      <c r="M33" s="10">
        <v>55.974</v>
      </c>
      <c r="N33" s="10">
        <v>14.80105602</v>
      </c>
      <c r="O33" s="10">
        <v>6.699672691</v>
      </c>
      <c r="P33" s="10">
        <v>31.1604</v>
      </c>
      <c r="Q33" s="11">
        <v>41.43924</v>
      </c>
      <c r="S33" s="12" t="s">
        <v>16</v>
      </c>
      <c r="T33" s="13">
        <v>0.02</v>
      </c>
      <c r="U33" s="13">
        <v>0.727</v>
      </c>
      <c r="V33" s="13">
        <v>0.0484907563</v>
      </c>
      <c r="W33" s="13">
        <v>0.04595736776</v>
      </c>
      <c r="X33" s="13">
        <v>0.119</v>
      </c>
      <c r="Y33" s="14">
        <v>0.22616</v>
      </c>
    </row>
    <row r="34">
      <c r="B34" s="7" t="s">
        <v>51</v>
      </c>
      <c r="C34" s="10">
        <v>11.0</v>
      </c>
      <c r="D34" s="10">
        <v>199.0</v>
      </c>
      <c r="E34" s="10">
        <v>12.133678500000002</v>
      </c>
      <c r="F34" s="10">
        <v>8.20020272</v>
      </c>
      <c r="G34" s="10">
        <v>27.0</v>
      </c>
      <c r="H34" s="11">
        <v>43.0</v>
      </c>
      <c r="K34" s="15" t="s">
        <v>39</v>
      </c>
      <c r="L34" s="18">
        <v>1.644</v>
      </c>
      <c r="M34" s="18">
        <v>17.005</v>
      </c>
      <c r="N34" s="18">
        <v>3.769556358</v>
      </c>
      <c r="O34" s="18">
        <v>2.218705176</v>
      </c>
      <c r="P34" s="18">
        <v>8.88325</v>
      </c>
      <c r="Q34" s="19">
        <v>11.70425</v>
      </c>
      <c r="S34" s="4" t="s">
        <v>19</v>
      </c>
      <c r="T34" s="5">
        <v>1.259</v>
      </c>
      <c r="U34" s="5">
        <v>28.705</v>
      </c>
      <c r="V34" s="5">
        <v>2.217931092</v>
      </c>
      <c r="W34" s="5">
        <v>1.409282853</v>
      </c>
      <c r="X34" s="5">
        <v>4.8598</v>
      </c>
      <c r="Y34" s="6">
        <v>6.41912</v>
      </c>
    </row>
    <row r="35">
      <c r="B35" s="15" t="s">
        <v>53</v>
      </c>
      <c r="C35" s="18">
        <v>158.0</v>
      </c>
      <c r="D35" s="18">
        <v>207.0</v>
      </c>
      <c r="E35" s="18">
        <v>168.90741383</v>
      </c>
      <c r="F35" s="18">
        <v>1.4008506870000055</v>
      </c>
      <c r="G35" s="18">
        <v>208.3</v>
      </c>
      <c r="H35" s="19">
        <v>282.8</v>
      </c>
      <c r="K35" s="7" t="s">
        <v>32</v>
      </c>
      <c r="L35" s="10">
        <v>32.0</v>
      </c>
      <c r="M35" s="10">
        <v>161.0</v>
      </c>
      <c r="N35" s="10">
        <v>75.33477455</v>
      </c>
      <c r="O35" s="10">
        <v>19.15896277</v>
      </c>
      <c r="P35" s="10">
        <v>101.0</v>
      </c>
      <c r="Q35" s="11">
        <v>115.0</v>
      </c>
      <c r="S35" s="12" t="s">
        <v>21</v>
      </c>
      <c r="T35" s="13">
        <v>0.022</v>
      </c>
      <c r="U35" s="13">
        <v>2.79</v>
      </c>
      <c r="V35" s="13">
        <v>0.05999495798</v>
      </c>
      <c r="W35" s="13">
        <v>0.1238568376</v>
      </c>
      <c r="X35" s="13">
        <v>0.1278</v>
      </c>
      <c r="Y35" s="14">
        <v>0.39592</v>
      </c>
    </row>
    <row r="36">
      <c r="B36" s="7" t="s">
        <v>54</v>
      </c>
      <c r="C36" s="10">
        <v>65.0</v>
      </c>
      <c r="D36" s="10">
        <v>341.0</v>
      </c>
      <c r="E36" s="10">
        <v>112.493968388</v>
      </c>
      <c r="F36" s="10">
        <v>37.085302944000006</v>
      </c>
      <c r="G36" s="10">
        <v>184.8</v>
      </c>
      <c r="H36" s="11">
        <v>248.32</v>
      </c>
      <c r="K36" s="15" t="s">
        <v>42</v>
      </c>
      <c r="L36" s="18">
        <v>2.0</v>
      </c>
      <c r="M36" s="18">
        <v>69.606</v>
      </c>
      <c r="N36" s="18">
        <v>28.91205493</v>
      </c>
      <c r="O36" s="18">
        <v>7.162033833</v>
      </c>
      <c r="P36" s="18">
        <v>45.85085</v>
      </c>
      <c r="Q36" s="19">
        <v>60.02734</v>
      </c>
      <c r="S36" s="4" t="s">
        <v>24</v>
      </c>
      <c r="T36" s="5">
        <v>0.043</v>
      </c>
      <c r="U36" s="5">
        <v>7.217</v>
      </c>
      <c r="V36" s="5">
        <v>0.1024588235</v>
      </c>
      <c r="W36" s="5">
        <v>0.2147535129</v>
      </c>
      <c r="X36" s="5">
        <v>0.232</v>
      </c>
      <c r="Y36" s="6">
        <v>0.50092</v>
      </c>
    </row>
    <row r="37">
      <c r="B37" s="15" t="s">
        <v>48</v>
      </c>
      <c r="C37" s="18">
        <v>32.278446</v>
      </c>
      <c r="D37" s="18">
        <v>170.14729</v>
      </c>
      <c r="E37" s="18">
        <v>75.92053545870002</v>
      </c>
      <c r="F37" s="18">
        <v>19.8247564874</v>
      </c>
      <c r="G37" s="18">
        <v>102.37976379999999</v>
      </c>
      <c r="H37" s="19">
        <v>118.24670189999999</v>
      </c>
      <c r="K37" s="7"/>
      <c r="L37" s="32"/>
      <c r="M37" s="32"/>
      <c r="N37" s="32"/>
      <c r="O37" s="32"/>
      <c r="P37" s="32"/>
      <c r="Q37" s="33"/>
      <c r="S37" s="12" t="s">
        <v>26</v>
      </c>
      <c r="T37" s="13">
        <v>0.793</v>
      </c>
      <c r="U37" s="13">
        <v>18.217</v>
      </c>
      <c r="V37" s="13">
        <v>1.390615126</v>
      </c>
      <c r="W37" s="13">
        <v>0.9001447537</v>
      </c>
      <c r="X37" s="13">
        <v>3.0796</v>
      </c>
      <c r="Y37" s="14">
        <v>4.02464</v>
      </c>
    </row>
    <row r="38">
      <c r="B38" s="7" t="s">
        <v>55</v>
      </c>
      <c r="C38" s="10">
        <f t="shared" ref="C38:H38" si="9">SUM(C34:C37)</f>
        <v>266.278446</v>
      </c>
      <c r="D38" s="10">
        <f t="shared" si="9"/>
        <v>917.14729</v>
      </c>
      <c r="E38" s="10">
        <f t="shared" si="9"/>
        <v>369.4555962</v>
      </c>
      <c r="F38" s="10">
        <f t="shared" si="9"/>
        <v>66.51111284</v>
      </c>
      <c r="G38" s="10">
        <f t="shared" si="9"/>
        <v>522.4797638</v>
      </c>
      <c r="H38" s="11">
        <f t="shared" si="9"/>
        <v>692.3667019</v>
      </c>
      <c r="K38" s="15" t="s">
        <v>44</v>
      </c>
      <c r="L38" s="18">
        <f t="shared" ref="L38:Q38" si="10">L34+L32+L31+L36</f>
        <v>30.75</v>
      </c>
      <c r="M38" s="18">
        <f t="shared" si="10"/>
        <v>307.595</v>
      </c>
      <c r="N38" s="18">
        <f t="shared" si="10"/>
        <v>111.9524103</v>
      </c>
      <c r="O38" s="18">
        <f t="shared" si="10"/>
        <v>37.27560206</v>
      </c>
      <c r="P38" s="18">
        <f t="shared" si="10"/>
        <v>187.8785</v>
      </c>
      <c r="Q38" s="19">
        <f t="shared" si="10"/>
        <v>238.46161</v>
      </c>
      <c r="S38" s="4" t="s">
        <v>28</v>
      </c>
      <c r="T38" s="5">
        <v>0.022</v>
      </c>
      <c r="U38" s="5">
        <v>1.035</v>
      </c>
      <c r="V38" s="5">
        <v>0.0540745098</v>
      </c>
      <c r="W38" s="5">
        <v>0.05720721466</v>
      </c>
      <c r="X38" s="5">
        <v>0.144</v>
      </c>
      <c r="Y38" s="6">
        <v>0.2368</v>
      </c>
    </row>
    <row r="39">
      <c r="B39" s="20" t="s">
        <v>56</v>
      </c>
      <c r="C39" s="21">
        <f t="shared" ref="C39:H39" si="11">C38*0.2</f>
        <v>53.2556892</v>
      </c>
      <c r="D39" s="21">
        <f t="shared" si="11"/>
        <v>183.429458</v>
      </c>
      <c r="E39" s="21">
        <f t="shared" si="11"/>
        <v>73.89111924</v>
      </c>
      <c r="F39" s="21">
        <f t="shared" si="11"/>
        <v>13.30222257</v>
      </c>
      <c r="G39" s="21">
        <f t="shared" si="11"/>
        <v>104.4959528</v>
      </c>
      <c r="H39" s="22">
        <f t="shared" si="11"/>
        <v>138.4733404</v>
      </c>
      <c r="K39" s="7" t="s">
        <v>53</v>
      </c>
      <c r="L39" s="10">
        <f t="shared" ref="L39:Q39" si="12">(L29-L35)+(L30-L35)+L26-L35+L27-L35+L25</f>
        <v>158</v>
      </c>
      <c r="M39" s="10">
        <f t="shared" si="12"/>
        <v>207</v>
      </c>
      <c r="N39" s="10">
        <f t="shared" si="12"/>
        <v>168.9074138</v>
      </c>
      <c r="O39" s="10">
        <f t="shared" si="12"/>
        <v>1.400850687</v>
      </c>
      <c r="P39" s="10">
        <f t="shared" si="12"/>
        <v>208.3</v>
      </c>
      <c r="Q39" s="11">
        <f t="shared" si="12"/>
        <v>282.8</v>
      </c>
      <c r="S39" s="15"/>
      <c r="T39" s="18"/>
      <c r="U39" s="18"/>
      <c r="V39" s="18"/>
      <c r="W39" s="18"/>
      <c r="X39" s="18"/>
      <c r="Y39" s="19"/>
    </row>
    <row r="40">
      <c r="K40" s="20" t="s">
        <v>57</v>
      </c>
      <c r="L40" s="21">
        <f t="shared" ref="L40:Q40" si="13">L38+L39</f>
        <v>188.75</v>
      </c>
      <c r="M40" s="21">
        <f t="shared" si="13"/>
        <v>514.595</v>
      </c>
      <c r="N40" s="21">
        <f t="shared" si="13"/>
        <v>280.8598241</v>
      </c>
      <c r="O40" s="21">
        <f t="shared" si="13"/>
        <v>38.67645275</v>
      </c>
      <c r="P40" s="21">
        <f t="shared" si="13"/>
        <v>396.1785</v>
      </c>
      <c r="Q40" s="22">
        <f t="shared" si="13"/>
        <v>521.26161</v>
      </c>
      <c r="S40" s="7" t="s">
        <v>44</v>
      </c>
      <c r="T40" s="10">
        <f t="shared" ref="T40:Y40" si="14">MAX(T31,T32,T33,T34,T35,T36,T37,T38)</f>
        <v>4.026</v>
      </c>
      <c r="U40" s="10">
        <f t="shared" si="14"/>
        <v>51.435</v>
      </c>
      <c r="V40" s="10">
        <f t="shared" si="14"/>
        <v>6.747519888</v>
      </c>
      <c r="W40" s="10">
        <f t="shared" si="14"/>
        <v>3.64832971</v>
      </c>
      <c r="X40" s="10">
        <f t="shared" si="14"/>
        <v>13.572</v>
      </c>
      <c r="Y40" s="11">
        <f t="shared" si="14"/>
        <v>18.24784</v>
      </c>
    </row>
    <row r="41">
      <c r="S41" s="15" t="s">
        <v>54</v>
      </c>
      <c r="T41" s="18">
        <f t="shared" ref="T41:Y41" si="15">T42-T40</f>
        <v>65</v>
      </c>
      <c r="U41" s="18">
        <f t="shared" si="15"/>
        <v>341</v>
      </c>
      <c r="V41" s="18">
        <f t="shared" si="15"/>
        <v>112.4939684</v>
      </c>
      <c r="W41" s="18">
        <f t="shared" si="15"/>
        <v>37.08530294</v>
      </c>
      <c r="X41" s="18">
        <f t="shared" si="15"/>
        <v>184.8</v>
      </c>
      <c r="Y41" s="19">
        <f t="shared" si="15"/>
        <v>248.32</v>
      </c>
    </row>
    <row r="42">
      <c r="S42" s="27" t="s">
        <v>58</v>
      </c>
      <c r="T42" s="28">
        <f t="shared" ref="T42:Y42" si="16">T40+T26+T27+T28+T29+T30</f>
        <v>69.026</v>
      </c>
      <c r="U42" s="28">
        <f t="shared" si="16"/>
        <v>392.435</v>
      </c>
      <c r="V42" s="28">
        <f t="shared" si="16"/>
        <v>119.2414883</v>
      </c>
      <c r="W42" s="28">
        <f t="shared" si="16"/>
        <v>40.73363265</v>
      </c>
      <c r="X42" s="28">
        <f t="shared" si="16"/>
        <v>198.372</v>
      </c>
      <c r="Y42" s="29">
        <f t="shared" si="16"/>
        <v>266.56784</v>
      </c>
    </row>
  </sheetData>
  <dataValidations>
    <dataValidation type="custom" allowBlank="1" showDropDown="1" sqref="T5:Y10 C5:H19 T14:Y22 L5:Q22 C25:H30 C34:H39 L25:Q40 T26:Y42">
      <formula1>AND(ISNUMBER(C5),(NOT(OR(NOT(ISERROR(DATEVALUE(C5))), AND(ISNUMBER(C5), LEFT(CELL("format", C5))="D")))))</formula1>
    </dataValidation>
  </dataValidations>
  <drawing r:id="rId1"/>
  <tableParts count="9">
    <tablePart r:id="rId11"/>
    <tablePart r:id="rId12"/>
    <tablePart r:id="rId13"/>
    <tablePart r:id="rId14"/>
    <tablePart r:id="rId15"/>
    <tablePart r:id="rId16"/>
    <tablePart r:id="rId17"/>
    <tablePart r:id="rId18"/>
    <tablePart r:id="rId19"/>
  </tableParts>
</worksheet>
</file>